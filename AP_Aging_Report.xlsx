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65ed58afa601ead/Desktop/New folder/"/>
    </mc:Choice>
  </mc:AlternateContent>
  <xr:revisionPtr revIDLastSave="0" documentId="8_{418F2E63-97A9-448F-A867-8532988A5AFE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Invoice Data" sheetId="1" r:id="rId1"/>
    <sheet name="Aging Analysis" sheetId="2" r:id="rId2"/>
    <sheet name="Vendor Ledger" sheetId="3" r:id="rId3"/>
    <sheet name="MIS 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4" l="1"/>
  <c r="B35" i="4"/>
  <c r="B34" i="4"/>
  <c r="B33" i="4"/>
  <c r="B32" i="4"/>
  <c r="B31" i="4"/>
  <c r="B30" i="4"/>
  <c r="B29" i="4"/>
  <c r="B28" i="4"/>
  <c r="B27" i="4"/>
  <c r="B26" i="4"/>
  <c r="D17" i="4"/>
  <c r="D11" i="4"/>
  <c r="A11" i="4"/>
  <c r="D8" i="4"/>
  <c r="A8" i="4"/>
  <c r="D5" i="4"/>
  <c r="A5" i="4"/>
  <c r="D22" i="3"/>
  <c r="C22" i="3"/>
  <c r="E22" i="3" s="1"/>
  <c r="C36" i="4" s="1"/>
  <c r="B22" i="3"/>
  <c r="D21" i="3"/>
  <c r="C21" i="3"/>
  <c r="E21" i="3" s="1"/>
  <c r="B21" i="3"/>
  <c r="D20" i="3"/>
  <c r="C20" i="3"/>
  <c r="E20" i="3" s="1"/>
  <c r="B20" i="3"/>
  <c r="D19" i="3"/>
  <c r="C19" i="3"/>
  <c r="E19" i="3" s="1"/>
  <c r="B19" i="3"/>
  <c r="D18" i="3"/>
  <c r="C18" i="3"/>
  <c r="E18" i="3" s="1"/>
  <c r="C33" i="4" s="1"/>
  <c r="B18" i="3"/>
  <c r="D17" i="3"/>
  <c r="C17" i="3"/>
  <c r="E17" i="3" s="1"/>
  <c r="C32" i="4" s="1"/>
  <c r="B17" i="3"/>
  <c r="D16" i="3"/>
  <c r="C16" i="3"/>
  <c r="E16" i="3" s="1"/>
  <c r="B16" i="3"/>
  <c r="D15" i="3"/>
  <c r="C15" i="3"/>
  <c r="E15" i="3" s="1"/>
  <c r="B15" i="3"/>
  <c r="D14" i="3"/>
  <c r="C14" i="3"/>
  <c r="E14" i="3" s="1"/>
  <c r="C35" i="4" s="1"/>
  <c r="B14" i="3"/>
  <c r="D13" i="3"/>
  <c r="C13" i="3"/>
  <c r="E13" i="3" s="1"/>
  <c r="B13" i="3"/>
  <c r="D12" i="3"/>
  <c r="C12" i="3"/>
  <c r="E12" i="3" s="1"/>
  <c r="C34" i="4" s="1"/>
  <c r="B12" i="3"/>
  <c r="D11" i="3"/>
  <c r="C11" i="3"/>
  <c r="E11" i="3" s="1"/>
  <c r="C30" i="4" s="1"/>
  <c r="B11" i="3"/>
  <c r="D10" i="3"/>
  <c r="C10" i="3"/>
  <c r="E10" i="3" s="1"/>
  <c r="B10" i="3"/>
  <c r="D9" i="3"/>
  <c r="C9" i="3"/>
  <c r="E9" i="3" s="1"/>
  <c r="B9" i="3"/>
  <c r="D8" i="3"/>
  <c r="C8" i="3"/>
  <c r="E8" i="3" s="1"/>
  <c r="B8" i="3"/>
  <c r="D7" i="3"/>
  <c r="C7" i="3"/>
  <c r="E7" i="3" s="1"/>
  <c r="C31" i="4" s="1"/>
  <c r="B7" i="3"/>
  <c r="D6" i="3"/>
  <c r="C6" i="3"/>
  <c r="E6" i="3" s="1"/>
  <c r="C28" i="4" s="1"/>
  <c r="B6" i="3"/>
  <c r="D5" i="3"/>
  <c r="C5" i="3"/>
  <c r="E5" i="3" s="1"/>
  <c r="B5" i="3"/>
  <c r="D4" i="3"/>
  <c r="C4" i="3"/>
  <c r="E4" i="3" s="1"/>
  <c r="B4" i="3"/>
  <c r="D3" i="3"/>
  <c r="D23" i="3" s="1"/>
  <c r="C3" i="3"/>
  <c r="E3" i="3" s="1"/>
  <c r="B3" i="3"/>
  <c r="B23" i="3" s="1"/>
  <c r="I22" i="1"/>
  <c r="L22" i="1" s="1"/>
  <c r="G22" i="1"/>
  <c r="H22" i="1" s="1"/>
  <c r="J21" i="1"/>
  <c r="G21" i="1"/>
  <c r="I21" i="1" s="1"/>
  <c r="I20" i="1"/>
  <c r="L20" i="1" s="1"/>
  <c r="G20" i="1"/>
  <c r="H20" i="1" s="1"/>
  <c r="J19" i="1"/>
  <c r="G19" i="1"/>
  <c r="I19" i="1" s="1"/>
  <c r="I18" i="1"/>
  <c r="L18" i="1" s="1"/>
  <c r="G18" i="1"/>
  <c r="H18" i="1" s="1"/>
  <c r="J17" i="1"/>
  <c r="G17" i="1"/>
  <c r="I17" i="1" s="1"/>
  <c r="I16" i="1"/>
  <c r="L16" i="1" s="1"/>
  <c r="G16" i="1"/>
  <c r="H16" i="1" s="1"/>
  <c r="J15" i="1"/>
  <c r="G15" i="1"/>
  <c r="I15" i="1" s="1"/>
  <c r="I14" i="1"/>
  <c r="L14" i="1" s="1"/>
  <c r="G14" i="1"/>
  <c r="H14" i="1" s="1"/>
  <c r="J13" i="1"/>
  <c r="G13" i="1"/>
  <c r="I13" i="1" s="1"/>
  <c r="I12" i="1"/>
  <c r="L12" i="1" s="1"/>
  <c r="G12" i="1"/>
  <c r="H12" i="1" s="1"/>
  <c r="J11" i="1"/>
  <c r="G11" i="1"/>
  <c r="I11" i="1" s="1"/>
  <c r="I10" i="1"/>
  <c r="L10" i="1" s="1"/>
  <c r="G10" i="1"/>
  <c r="H10" i="1" s="1"/>
  <c r="J9" i="1"/>
  <c r="G9" i="1"/>
  <c r="I9" i="1" s="1"/>
  <c r="I8" i="1"/>
  <c r="L8" i="1" s="1"/>
  <c r="G8" i="1"/>
  <c r="H8" i="1" s="1"/>
  <c r="J7" i="1"/>
  <c r="G7" i="1"/>
  <c r="I7" i="1" s="1"/>
  <c r="I6" i="1"/>
  <c r="L6" i="1" s="1"/>
  <c r="G6" i="1"/>
  <c r="H6" i="1" s="1"/>
  <c r="J5" i="1"/>
  <c r="G5" i="1"/>
  <c r="I5" i="1" s="1"/>
  <c r="I4" i="1"/>
  <c r="L4" i="1" s="1"/>
  <c r="G4" i="1"/>
  <c r="H4" i="1" s="1"/>
  <c r="J3" i="1"/>
  <c r="G3" i="1"/>
  <c r="I3" i="1" s="1"/>
  <c r="D4" i="2" l="1"/>
  <c r="E6" i="2"/>
  <c r="C4" i="2"/>
  <c r="C6" i="2"/>
  <c r="K3" i="1"/>
  <c r="D8" i="2"/>
  <c r="D6" i="2"/>
  <c r="B4" i="2"/>
  <c r="L3" i="1"/>
  <c r="E8" i="2"/>
  <c r="B6" i="2"/>
  <c r="E3" i="2"/>
  <c r="C8" i="2"/>
  <c r="D3" i="2"/>
  <c r="D5" i="2"/>
  <c r="E7" i="2"/>
  <c r="B8" i="2"/>
  <c r="E5" i="2"/>
  <c r="C3" i="2"/>
  <c r="B3" i="2"/>
  <c r="C5" i="2"/>
  <c r="D7" i="2"/>
  <c r="B5" i="2"/>
  <c r="C7" i="2"/>
  <c r="B7" i="2"/>
  <c r="E4" i="2"/>
  <c r="K15" i="1"/>
  <c r="L15" i="1"/>
  <c r="K21" i="1"/>
  <c r="L21" i="1"/>
  <c r="K9" i="1"/>
  <c r="L9" i="1"/>
  <c r="D35" i="4"/>
  <c r="D36" i="4"/>
  <c r="D33" i="4"/>
  <c r="K5" i="1"/>
  <c r="L5" i="1"/>
  <c r="K11" i="1"/>
  <c r="L11" i="1"/>
  <c r="K17" i="1"/>
  <c r="L17" i="1"/>
  <c r="C26" i="4"/>
  <c r="D26" i="4" s="1"/>
  <c r="E23" i="3"/>
  <c r="D31" i="4"/>
  <c r="D30" i="4"/>
  <c r="C27" i="4"/>
  <c r="K7" i="1"/>
  <c r="L7" i="1"/>
  <c r="K13" i="1"/>
  <c r="L13" i="1"/>
  <c r="K19" i="1"/>
  <c r="L19" i="1"/>
  <c r="C29" i="4"/>
  <c r="C23" i="3"/>
  <c r="J4" i="1"/>
  <c r="J6" i="1"/>
  <c r="J8" i="1"/>
  <c r="J10" i="1"/>
  <c r="J12" i="1"/>
  <c r="J14" i="1"/>
  <c r="J16" i="1"/>
  <c r="J18" i="1"/>
  <c r="J20" i="1"/>
  <c r="J22" i="1"/>
  <c r="K4" i="1"/>
  <c r="K6" i="1"/>
  <c r="K8" i="1"/>
  <c r="K10" i="1"/>
  <c r="K12" i="1"/>
  <c r="K14" i="1"/>
  <c r="K16" i="1"/>
  <c r="K18" i="1"/>
  <c r="K20" i="1"/>
  <c r="K22" i="1"/>
  <c r="H3" i="1"/>
  <c r="H5" i="1"/>
  <c r="H7" i="1"/>
  <c r="H9" i="1"/>
  <c r="H11" i="1"/>
  <c r="H13" i="1"/>
  <c r="H15" i="1"/>
  <c r="H17" i="1"/>
  <c r="H19" i="1"/>
  <c r="H21" i="1"/>
  <c r="A14" i="4" l="1"/>
  <c r="D14" i="4"/>
  <c r="A17" i="4"/>
  <c r="D20" i="4"/>
  <c r="A20" i="4"/>
  <c r="D34" i="4"/>
  <c r="D29" i="4"/>
  <c r="B9" i="2"/>
  <c r="C9" i="2"/>
  <c r="F9" i="2" s="1"/>
  <c r="D9" i="2"/>
  <c r="D27" i="4"/>
  <c r="D28" i="4"/>
  <c r="E9" i="2"/>
  <c r="D32" i="4"/>
  <c r="F3" i="2" l="1"/>
  <c r="F4" i="2"/>
  <c r="F6" i="2"/>
  <c r="F7" i="2"/>
  <c r="F5" i="2"/>
  <c r="F8" i="2"/>
</calcChain>
</file>

<file path=xl/sharedStrings.xml><?xml version="1.0" encoding="utf-8"?>
<sst xmlns="http://schemas.openxmlformats.org/spreadsheetml/2006/main" count="259" uniqueCount="154">
  <si>
    <t>ACCOUNTS PAYABLE — VENDOR INVOICE TRACKER</t>
  </si>
  <si>
    <t>Invoice No.</t>
  </si>
  <si>
    <t>Vendor Name</t>
  </si>
  <si>
    <t>Invoice Date</t>
  </si>
  <si>
    <t>Due Date</t>
  </si>
  <si>
    <t>Amount (₹)</t>
  </si>
  <si>
    <t>Amount Paid (₹)</t>
  </si>
  <si>
    <t>Balance Due (₹)</t>
  </si>
  <si>
    <t>Days to Due / Overdue</t>
  </si>
  <si>
    <t>AP Aging Bucket</t>
  </si>
  <si>
    <t>Payment Status</t>
  </si>
  <si>
    <t>Remarks</t>
  </si>
  <si>
    <t>Priority</t>
  </si>
  <si>
    <t>Payment Method</t>
  </si>
  <si>
    <t>INV-2001</t>
  </si>
  <si>
    <t>Tata Steel Ltd</t>
  </si>
  <si>
    <t>2025-01-08</t>
  </si>
  <si>
    <t>2025-02-07</t>
  </si>
  <si>
    <t>NEFT</t>
  </si>
  <si>
    <t>INV-2002</t>
  </si>
  <si>
    <t>Infosys BPO</t>
  </si>
  <si>
    <t>2025-01-12</t>
  </si>
  <si>
    <t>2025-02-11</t>
  </si>
  <si>
    <t>INV-2003</t>
  </si>
  <si>
    <t>Wipro Enterprises</t>
  </si>
  <si>
    <t>2025-01-18</t>
  </si>
  <si>
    <t>2025-02-17</t>
  </si>
  <si>
    <t>RTGS</t>
  </si>
  <si>
    <t>INV-2004</t>
  </si>
  <si>
    <t>L&amp;T Construction</t>
  </si>
  <si>
    <t>2025-01-22</t>
  </si>
  <si>
    <t>2025-02-21</t>
  </si>
  <si>
    <t>INV-2005</t>
  </si>
  <si>
    <t>HDFC Leasing</t>
  </si>
  <si>
    <t>2025-02-01</t>
  </si>
  <si>
    <t>2025-03-02</t>
  </si>
  <si>
    <t>Auto-Debit</t>
  </si>
  <si>
    <t>INV-2006</t>
  </si>
  <si>
    <t>Siemens India</t>
  </si>
  <si>
    <t>2025-02-05</t>
  </si>
  <si>
    <t>2025-03-06</t>
  </si>
  <si>
    <t>INV-2007</t>
  </si>
  <si>
    <t>Asian Paints</t>
  </si>
  <si>
    <t>2025-02-09</t>
  </si>
  <si>
    <t>2025-03-10</t>
  </si>
  <si>
    <t>IMPS</t>
  </si>
  <si>
    <t>INV-2008</t>
  </si>
  <si>
    <t>UltraTech Cement</t>
  </si>
  <si>
    <t>2025-02-14</t>
  </si>
  <si>
    <t>2025-03-15</t>
  </si>
  <si>
    <t>INV-2009</t>
  </si>
  <si>
    <t>Mahindra Logistics</t>
  </si>
  <si>
    <t>2025-02-18</t>
  </si>
  <si>
    <t>2025-03-19</t>
  </si>
  <si>
    <t>INV-2010</t>
  </si>
  <si>
    <t>Sun Pharma Supplies</t>
  </si>
  <si>
    <t>2025-02-22</t>
  </si>
  <si>
    <t>2025-03-23</t>
  </si>
  <si>
    <t>INV-2011</t>
  </si>
  <si>
    <t>Bajaj Electricals</t>
  </si>
  <si>
    <t>2025-03-01</t>
  </si>
  <si>
    <t>2025-03-31</t>
  </si>
  <si>
    <t>Cheque</t>
  </si>
  <si>
    <t>INV-2012</t>
  </si>
  <si>
    <t>Godrej Industries</t>
  </si>
  <si>
    <t>2025-03-04</t>
  </si>
  <si>
    <t>2025-04-03</t>
  </si>
  <si>
    <t>INV-2013</t>
  </si>
  <si>
    <t>Pidilite Industries</t>
  </si>
  <si>
    <t>2025-03-07</t>
  </si>
  <si>
    <t>2025-04-06</t>
  </si>
  <si>
    <t>INV-2014</t>
  </si>
  <si>
    <t>Hindustan Zinc</t>
  </si>
  <si>
    <t>2025-04-09</t>
  </si>
  <si>
    <t>INV-2015</t>
  </si>
  <si>
    <t>Bharat Petroleum</t>
  </si>
  <si>
    <t>2025-03-13</t>
  </si>
  <si>
    <t>2025-04-12</t>
  </si>
  <si>
    <t>INV-2016</t>
  </si>
  <si>
    <t>NTPC Vendors</t>
  </si>
  <si>
    <t>2025-03-16</t>
  </si>
  <si>
    <t>2025-04-15</t>
  </si>
  <si>
    <t>INV-2017</t>
  </si>
  <si>
    <t>JSW Steel</t>
  </si>
  <si>
    <t>2025-04-18</t>
  </si>
  <si>
    <t>INV-2018</t>
  </si>
  <si>
    <t>Crompton Greaves</t>
  </si>
  <si>
    <t>2025-03-21</t>
  </si>
  <si>
    <t>2025-04-20</t>
  </si>
  <si>
    <t>INV-2019</t>
  </si>
  <si>
    <t>ABB India</t>
  </si>
  <si>
    <t>2025-03-24</t>
  </si>
  <si>
    <t>2025-04-23</t>
  </si>
  <si>
    <t>INV-2020</t>
  </si>
  <si>
    <t>Voltas Ltd</t>
  </si>
  <si>
    <t>2025-03-27</t>
  </si>
  <si>
    <t>2025-04-26</t>
  </si>
  <si>
    <t>ACCOUNTS PAYABLE — AGING ANALYSIS SUMMARY</t>
  </si>
  <si>
    <t>Aging Bucket</t>
  </si>
  <si>
    <t>No. of Invoices</t>
  </si>
  <si>
    <t>Total Amount (₹)</t>
  </si>
  <si>
    <t>% of Total AP</t>
  </si>
  <si>
    <t>Risk Level</t>
  </si>
  <si>
    <t>Paid</t>
  </si>
  <si>
    <t>None</t>
  </si>
  <si>
    <t>Not Yet Due</t>
  </si>
  <si>
    <t>Low</t>
  </si>
  <si>
    <t>1-30 Days Overdue</t>
  </si>
  <si>
    <t>Medium</t>
  </si>
  <si>
    <t>31-60 Days Overdue</t>
  </si>
  <si>
    <t>High</t>
  </si>
  <si>
    <t>61-90 Days Overdue</t>
  </si>
  <si>
    <t>Very High</t>
  </si>
  <si>
    <t>90+ Days Overdue</t>
  </si>
  <si>
    <t>Critical</t>
  </si>
  <si>
    <t>TOTAL</t>
  </si>
  <si>
    <t>-</t>
  </si>
  <si>
    <t>VENDOR LEDGER — PAYABLE SUMMARY</t>
  </si>
  <si>
    <t>Total Invoiced (₹)</t>
  </si>
  <si>
    <t>Total Paid (₹)</t>
  </si>
  <si>
    <t>Outstanding (₹)</t>
  </si>
  <si>
    <t>Last Payment Date</t>
  </si>
  <si>
    <t>Credit Terms</t>
  </si>
  <si>
    <t>Vendor Category</t>
  </si>
  <si>
    <t>Net 30</t>
  </si>
  <si>
    <t>Raw Material</t>
  </si>
  <si>
    <t>IT Services</t>
  </si>
  <si>
    <t>Net 45</t>
  </si>
  <si>
    <t>Infrastructure</t>
  </si>
  <si>
    <t>Finance &amp; Leasing</t>
  </si>
  <si>
    <t>Equipment</t>
  </si>
  <si>
    <t>Logistics</t>
  </si>
  <si>
    <t>Pharma Supplies</t>
  </si>
  <si>
    <t>Consumer Goods</t>
  </si>
  <si>
    <t>Fuel &amp; Energy</t>
  </si>
  <si>
    <t>Utilities</t>
  </si>
  <si>
    <t>HVAC &amp; Services</t>
  </si>
  <si>
    <t>ACCOUNTS PAYABLE — MIS DASHBOARD</t>
  </si>
  <si>
    <t>KEY PERFORMANCE INDICATORS</t>
  </si>
  <si>
    <t>Total Vendors</t>
  </si>
  <si>
    <t>Total Invoices</t>
  </si>
  <si>
    <t>Total AP Value (₹)</t>
  </si>
  <si>
    <t>Total Outstanding (₹)</t>
  </si>
  <si>
    <t>Payment Rate (%)</t>
  </si>
  <si>
    <t>Overdue Invoices</t>
  </si>
  <si>
    <t>Invoices Paid</t>
  </si>
  <si>
    <t>Invoices Upcoming</t>
  </si>
  <si>
    <t>Avg Invoice Value (₹)</t>
  </si>
  <si>
    <t>Critical Priority Count</t>
  </si>
  <si>
    <t>High Priority Count</t>
  </si>
  <si>
    <t>OUTSTANDING BY VENDOR CATEGORY</t>
  </si>
  <si>
    <t>Category</t>
  </si>
  <si>
    <t>No. of Vendors</t>
  </si>
  <si>
    <t>%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</si>
</sst>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0.0%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sz val="10"/>
      <color rgb="FF1E8449"/>
      <name val="Arial"/>
      <charset val="1"/>
    </font>
    <font>
      <sz val="10"/>
      <color rgb="FF2E75B6"/>
      <name val="Arial"/>
      <charset val="1"/>
    </font>
    <font>
      <sz val="10"/>
      <color rgb="FFE67E22"/>
      <name val="Arial"/>
      <charset val="1"/>
    </font>
    <font>
      <sz val="10"/>
      <color rgb="FFD35400"/>
      <name val="Arial"/>
      <charset val="1"/>
    </font>
    <font>
      <sz val="10"/>
      <color rgb="FFC0392B"/>
      <name val="Arial"/>
      <charset val="1"/>
    </font>
    <font>
      <sz val="10"/>
      <color rgb="FF7B241C"/>
      <name val="Arial"/>
      <charset val="1"/>
    </font>
    <font>
      <b/>
      <sz val="10"/>
      <color rgb="FF1F3864"/>
      <name val="Arial"/>
      <charset val="1"/>
    </font>
    <font>
      <b/>
      <sz val="10"/>
      <color rgb="FFFFFFFF"/>
      <name val="Arial"/>
      <charset val="1"/>
    </font>
    <font>
      <b/>
      <sz val="14"/>
      <color rgb="FF2E75B6"/>
      <name val="Arial"/>
      <charset val="1"/>
    </font>
    <font>
      <b/>
      <sz val="14"/>
      <color rgb="FF1F3864"/>
      <name val="Arial"/>
      <charset val="1"/>
    </font>
    <font>
      <b/>
      <sz val="14"/>
      <color rgb="FF1E8449"/>
      <name val="Arial"/>
      <charset val="1"/>
    </font>
    <font>
      <b/>
      <sz val="14"/>
      <color rgb="FFE67E22"/>
      <name val="Arial"/>
      <charset val="1"/>
    </font>
    <font>
      <b/>
      <sz val="14"/>
      <color rgb="FFC0392B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BF5FB"/>
        <bgColor rgb="FFF2F2F2"/>
      </patternFill>
    </fill>
    <fill>
      <patternFill patternType="solid">
        <fgColor rgb="FFD5F5E3"/>
        <bgColor rgb="FFD6E4F0"/>
      </patternFill>
    </fill>
    <fill>
      <patternFill patternType="solid">
        <fgColor rgb="FFD6E4F0"/>
        <bgColor rgb="FFD5F5E3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  <fill>
      <patternFill patternType="solid">
        <fgColor rgb="FFF2F2F2"/>
        <bgColor rgb="FFEBF5FB"/>
      </patternFill>
    </fill>
    <fill>
      <patternFill patternType="solid">
        <fgColor rgb="FF1E8449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D35400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166" fontId="3" fillId="7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 wrapText="1"/>
    </xf>
    <xf numFmtId="166" fontId="3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166" fontId="3" fillId="9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165" fontId="1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165" fontId="14" fillId="5" borderId="2" xfId="0" applyNumberFormat="1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165" fontId="16" fillId="8" borderId="2" xfId="0" applyNumberFormat="1" applyFont="1" applyFill="1" applyBorder="1" applyAlignment="1">
      <alignment horizontal="center" vertical="center" wrapText="1"/>
    </xf>
    <xf numFmtId="166" fontId="15" fillId="6" borderId="2" xfId="0" applyNumberFormat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165" fontId="15" fillId="6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C0392B"/>
      <rgbColor rgb="FFFDEBD0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FF99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E67E22"/>
      <rgbColor rgb="FF666699"/>
      <rgbColor rgb="FF969696"/>
      <rgbColor rgb="FF1F3864"/>
      <rgbColor rgb="FF1E8449"/>
      <rgbColor rgb="FF003300"/>
      <rgbColor rgb="FF333300"/>
      <rgbColor rgb="FF7B241C"/>
      <rgbColor rgb="FFD3540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showGridLines="0" zoomScale="91" zoomScaleNormal="100" workbookViewId="0">
      <pane ySplit="2" topLeftCell="A10" activePane="bottomLeft" state="frozen"/>
      <selection pane="bottomLeft" sqref="A1:M1"/>
    </sheetView>
  </sheetViews>
  <sheetFormatPr defaultColWidth="8.6328125" defaultRowHeight="14.5" x14ac:dyDescent="0.35"/>
  <cols>
    <col min="1" max="1" width="13" customWidth="1"/>
    <col min="2" max="2" width="20" customWidth="1"/>
    <col min="3" max="4" width="14" customWidth="1"/>
    <col min="5" max="5" width="15" customWidth="1"/>
    <col min="6" max="6" width="16" customWidth="1"/>
    <col min="7" max="7" width="15" customWidth="1"/>
    <col min="8" max="8" width="20" customWidth="1"/>
    <col min="9" max="9" width="18" customWidth="1"/>
    <col min="10" max="10" width="16" customWidth="1"/>
    <col min="11" max="11" width="28" customWidth="1"/>
    <col min="12" max="12" width="10" customWidth="1"/>
    <col min="13" max="13" width="16" customWidth="1"/>
  </cols>
  <sheetData>
    <row r="1" spans="1:13" ht="31.5" customHeight="1" x14ac:dyDescent="0.3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5">
      <c r="A3" s="2" t="s">
        <v>14</v>
      </c>
      <c r="B3" s="3" t="s">
        <v>15</v>
      </c>
      <c r="C3" s="4" t="s">
        <v>16</v>
      </c>
      <c r="D3" s="4" t="s">
        <v>17</v>
      </c>
      <c r="E3" s="5">
        <v>92000</v>
      </c>
      <c r="F3" s="5">
        <v>92000</v>
      </c>
      <c r="G3" s="5">
        <f t="shared" ref="G3:G22" si="0">E3-F3</f>
        <v>0</v>
      </c>
      <c r="H3" s="2" t="str">
        <f t="shared" ref="H3:H22" ca="1" si="1">IF(G3&lt;=0,"-",IF(TODAY()&gt;D3,TODAY()-D3,D3-TODAY()))</f>
        <v>-</v>
      </c>
      <c r="I3" s="2" t="str">
        <f t="shared" ref="I3:I22" ca="1" si="2">IF(G3&lt;=0,"Paid",IF(TODAY()&lt;D3,"Not Yet Due",IF(TODAY()-D3&lt;=30,"1-30 Days Overdue",IF(TODAY()-D3&lt;=60,"31-60 Days Overdue",IF(TODAY()-D3&lt;=90,"61-90 Days Overdue","90+ Days Overdue")))))</f>
        <v>Paid</v>
      </c>
      <c r="J3" s="2" t="str">
        <f t="shared" ref="J3:J22" ca="1" si="3">IF(G3&lt;=0,"Paid",IF(TODAY()&lt;D3,"Upcoming","Overdue"))</f>
        <v>Paid</v>
      </c>
      <c r="K3" s="3" t="str">
        <f t="shared" ref="K3:K22" ca="1" si="4">IF(I3="Paid","Payment completed",IF(I3="Not Yet Due","Schedule payment before due date",IF(I3="1-30 Days Overdue","Initiate payment immediately",IF(I3="31-60 Days Overdue","Urgent: contact vendor",IF(I3="61-90 Days Overdue","Escalate to Finance Manager","Legal / penalty risk")))))</f>
        <v>Payment completed</v>
      </c>
      <c r="L3" s="2" t="str">
        <f t="shared" ref="L3:L22" ca="1" si="5">IF(I3="Paid","-",IF(I3="Not Yet Due","Low",IF(I3="1-30 Days Overdue","Medium",IF(I3="31-60 Days Overdue","High","Critical"))))</f>
        <v>-</v>
      </c>
      <c r="M3" s="2" t="s">
        <v>18</v>
      </c>
    </row>
    <row r="4" spans="1:13" x14ac:dyDescent="0.35">
      <c r="A4" s="6" t="s">
        <v>19</v>
      </c>
      <c r="B4" s="7" t="s">
        <v>20</v>
      </c>
      <c r="C4" s="8" t="s">
        <v>21</v>
      </c>
      <c r="D4" s="8" t="s">
        <v>22</v>
      </c>
      <c r="E4" s="9">
        <v>135000</v>
      </c>
      <c r="F4" s="9">
        <v>135000</v>
      </c>
      <c r="G4" s="9">
        <f t="shared" si="0"/>
        <v>0</v>
      </c>
      <c r="H4" s="6" t="str">
        <f t="shared" ca="1" si="1"/>
        <v>-</v>
      </c>
      <c r="I4" s="6" t="str">
        <f t="shared" ca="1" si="2"/>
        <v>Paid</v>
      </c>
      <c r="J4" s="6" t="str">
        <f t="shared" ca="1" si="3"/>
        <v>Paid</v>
      </c>
      <c r="K4" s="7" t="str">
        <f t="shared" ca="1" si="4"/>
        <v>Payment completed</v>
      </c>
      <c r="L4" s="6" t="str">
        <f t="shared" ca="1" si="5"/>
        <v>-</v>
      </c>
      <c r="M4" s="6" t="s">
        <v>18</v>
      </c>
    </row>
    <row r="5" spans="1:13" ht="25" x14ac:dyDescent="0.35">
      <c r="A5" s="2" t="s">
        <v>23</v>
      </c>
      <c r="B5" s="3" t="s">
        <v>24</v>
      </c>
      <c r="C5" s="4" t="s">
        <v>25</v>
      </c>
      <c r="D5" s="4" t="s">
        <v>26</v>
      </c>
      <c r="E5" s="5">
        <v>74500</v>
      </c>
      <c r="F5" s="5">
        <v>0</v>
      </c>
      <c r="G5" s="5">
        <f t="shared" si="0"/>
        <v>74500</v>
      </c>
      <c r="H5" s="2">
        <f t="shared" ca="1" si="1"/>
        <v>-407</v>
      </c>
      <c r="I5" s="2" t="str">
        <f t="shared" ca="1" si="2"/>
        <v>Not Yet Due</v>
      </c>
      <c r="J5" s="2" t="str">
        <f t="shared" ca="1" si="3"/>
        <v>Upcoming</v>
      </c>
      <c r="K5" s="3" t="str">
        <f t="shared" ca="1" si="4"/>
        <v>Schedule payment before due date</v>
      </c>
      <c r="L5" s="2" t="str">
        <f t="shared" ca="1" si="5"/>
        <v>Low</v>
      </c>
      <c r="M5" s="2" t="s">
        <v>27</v>
      </c>
    </row>
    <row r="6" spans="1:13" ht="25" x14ac:dyDescent="0.35">
      <c r="A6" s="6" t="s">
        <v>28</v>
      </c>
      <c r="B6" s="7" t="s">
        <v>29</v>
      </c>
      <c r="C6" s="8" t="s">
        <v>30</v>
      </c>
      <c r="D6" s="8" t="s">
        <v>31</v>
      </c>
      <c r="E6" s="9">
        <v>210000</v>
      </c>
      <c r="F6" s="9">
        <v>100000</v>
      </c>
      <c r="G6" s="9">
        <f t="shared" si="0"/>
        <v>110000</v>
      </c>
      <c r="H6" s="6">
        <f t="shared" ca="1" si="1"/>
        <v>-403</v>
      </c>
      <c r="I6" s="6" t="str">
        <f t="shared" ca="1" si="2"/>
        <v>Not Yet Due</v>
      </c>
      <c r="J6" s="6" t="str">
        <f t="shared" ca="1" si="3"/>
        <v>Upcoming</v>
      </c>
      <c r="K6" s="7" t="str">
        <f t="shared" ca="1" si="4"/>
        <v>Schedule payment before due date</v>
      </c>
      <c r="L6" s="6" t="str">
        <f t="shared" ca="1" si="5"/>
        <v>Low</v>
      </c>
      <c r="M6" s="6" t="s">
        <v>27</v>
      </c>
    </row>
    <row r="7" spans="1:13" x14ac:dyDescent="0.35">
      <c r="A7" s="2" t="s">
        <v>32</v>
      </c>
      <c r="B7" s="3" t="s">
        <v>33</v>
      </c>
      <c r="C7" s="4" t="s">
        <v>34</v>
      </c>
      <c r="D7" s="4" t="s">
        <v>35</v>
      </c>
      <c r="E7" s="5">
        <v>48000</v>
      </c>
      <c r="F7" s="5">
        <v>48000</v>
      </c>
      <c r="G7" s="5">
        <f t="shared" si="0"/>
        <v>0</v>
      </c>
      <c r="H7" s="2" t="str">
        <f t="shared" ca="1" si="1"/>
        <v>-</v>
      </c>
      <c r="I7" s="2" t="str">
        <f t="shared" ca="1" si="2"/>
        <v>Paid</v>
      </c>
      <c r="J7" s="2" t="str">
        <f t="shared" ca="1" si="3"/>
        <v>Paid</v>
      </c>
      <c r="K7" s="3" t="str">
        <f t="shared" ca="1" si="4"/>
        <v>Payment completed</v>
      </c>
      <c r="L7" s="2" t="str">
        <f t="shared" ca="1" si="5"/>
        <v>-</v>
      </c>
      <c r="M7" s="2" t="s">
        <v>36</v>
      </c>
    </row>
    <row r="8" spans="1:13" ht="25" x14ac:dyDescent="0.35">
      <c r="A8" s="6" t="s">
        <v>37</v>
      </c>
      <c r="B8" s="7" t="s">
        <v>38</v>
      </c>
      <c r="C8" s="8" t="s">
        <v>39</v>
      </c>
      <c r="D8" s="8" t="s">
        <v>40</v>
      </c>
      <c r="E8" s="9">
        <v>87000</v>
      </c>
      <c r="F8" s="9">
        <v>0</v>
      </c>
      <c r="G8" s="9">
        <f t="shared" si="0"/>
        <v>87000</v>
      </c>
      <c r="H8" s="6">
        <f t="shared" ca="1" si="1"/>
        <v>-390</v>
      </c>
      <c r="I8" s="6" t="str">
        <f t="shared" ca="1" si="2"/>
        <v>Not Yet Due</v>
      </c>
      <c r="J8" s="6" t="str">
        <f t="shared" ca="1" si="3"/>
        <v>Upcoming</v>
      </c>
      <c r="K8" s="7" t="str">
        <f t="shared" ca="1" si="4"/>
        <v>Schedule payment before due date</v>
      </c>
      <c r="L8" s="6" t="str">
        <f t="shared" ca="1" si="5"/>
        <v>Low</v>
      </c>
      <c r="M8" s="6" t="s">
        <v>18</v>
      </c>
    </row>
    <row r="9" spans="1:13" x14ac:dyDescent="0.35">
      <c r="A9" s="2" t="s">
        <v>41</v>
      </c>
      <c r="B9" s="3" t="s">
        <v>42</v>
      </c>
      <c r="C9" s="4" t="s">
        <v>43</v>
      </c>
      <c r="D9" s="4" t="s">
        <v>44</v>
      </c>
      <c r="E9" s="5">
        <v>165000</v>
      </c>
      <c r="F9" s="5">
        <v>165000</v>
      </c>
      <c r="G9" s="5">
        <f t="shared" si="0"/>
        <v>0</v>
      </c>
      <c r="H9" s="2" t="str">
        <f t="shared" ca="1" si="1"/>
        <v>-</v>
      </c>
      <c r="I9" s="2" t="str">
        <f t="shared" ca="1" si="2"/>
        <v>Paid</v>
      </c>
      <c r="J9" s="2" t="str">
        <f t="shared" ca="1" si="3"/>
        <v>Paid</v>
      </c>
      <c r="K9" s="3" t="str">
        <f t="shared" ca="1" si="4"/>
        <v>Payment completed</v>
      </c>
      <c r="L9" s="2" t="str">
        <f t="shared" ca="1" si="5"/>
        <v>-</v>
      </c>
      <c r="M9" s="2" t="s">
        <v>45</v>
      </c>
    </row>
    <row r="10" spans="1:13" ht="25" x14ac:dyDescent="0.35">
      <c r="A10" s="6" t="s">
        <v>46</v>
      </c>
      <c r="B10" s="7" t="s">
        <v>47</v>
      </c>
      <c r="C10" s="8" t="s">
        <v>48</v>
      </c>
      <c r="D10" s="8" t="s">
        <v>49</v>
      </c>
      <c r="E10" s="9">
        <v>36000</v>
      </c>
      <c r="F10" s="9">
        <v>0</v>
      </c>
      <c r="G10" s="9">
        <f t="shared" si="0"/>
        <v>36000</v>
      </c>
      <c r="H10" s="6">
        <f t="shared" ca="1" si="1"/>
        <v>-381</v>
      </c>
      <c r="I10" s="6" t="str">
        <f t="shared" ca="1" si="2"/>
        <v>Not Yet Due</v>
      </c>
      <c r="J10" s="6" t="str">
        <f t="shared" ca="1" si="3"/>
        <v>Upcoming</v>
      </c>
      <c r="K10" s="7" t="str">
        <f t="shared" ca="1" si="4"/>
        <v>Schedule payment before due date</v>
      </c>
      <c r="L10" s="6" t="str">
        <f t="shared" ca="1" si="5"/>
        <v>Low</v>
      </c>
      <c r="M10" s="6" t="s">
        <v>18</v>
      </c>
    </row>
    <row r="11" spans="1:13" ht="25" x14ac:dyDescent="0.35">
      <c r="A11" s="2" t="s">
        <v>50</v>
      </c>
      <c r="B11" s="3" t="s">
        <v>51</v>
      </c>
      <c r="C11" s="4" t="s">
        <v>52</v>
      </c>
      <c r="D11" s="4" t="s">
        <v>53</v>
      </c>
      <c r="E11" s="5">
        <v>119000</v>
      </c>
      <c r="F11" s="5">
        <v>60000</v>
      </c>
      <c r="G11" s="5">
        <f t="shared" si="0"/>
        <v>59000</v>
      </c>
      <c r="H11" s="2">
        <f t="shared" ca="1" si="1"/>
        <v>-377</v>
      </c>
      <c r="I11" s="2" t="str">
        <f t="shared" ca="1" si="2"/>
        <v>Not Yet Due</v>
      </c>
      <c r="J11" s="2" t="str">
        <f t="shared" ca="1" si="3"/>
        <v>Upcoming</v>
      </c>
      <c r="K11" s="3" t="str">
        <f t="shared" ca="1" si="4"/>
        <v>Schedule payment before due date</v>
      </c>
      <c r="L11" s="2" t="str">
        <f t="shared" ca="1" si="5"/>
        <v>Low</v>
      </c>
      <c r="M11" s="2" t="s">
        <v>27</v>
      </c>
    </row>
    <row r="12" spans="1:13" x14ac:dyDescent="0.35">
      <c r="A12" s="6" t="s">
        <v>54</v>
      </c>
      <c r="B12" s="7" t="s">
        <v>55</v>
      </c>
      <c r="C12" s="8" t="s">
        <v>56</v>
      </c>
      <c r="D12" s="8" t="s">
        <v>57</v>
      </c>
      <c r="E12" s="9">
        <v>53000</v>
      </c>
      <c r="F12" s="9">
        <v>53000</v>
      </c>
      <c r="G12" s="9">
        <f t="shared" si="0"/>
        <v>0</v>
      </c>
      <c r="H12" s="6" t="str">
        <f t="shared" ca="1" si="1"/>
        <v>-</v>
      </c>
      <c r="I12" s="6" t="str">
        <f t="shared" ca="1" si="2"/>
        <v>Paid</v>
      </c>
      <c r="J12" s="6" t="str">
        <f t="shared" ca="1" si="3"/>
        <v>Paid</v>
      </c>
      <c r="K12" s="7" t="str">
        <f t="shared" ca="1" si="4"/>
        <v>Payment completed</v>
      </c>
      <c r="L12" s="6" t="str">
        <f t="shared" ca="1" si="5"/>
        <v>-</v>
      </c>
      <c r="M12" s="6" t="s">
        <v>18</v>
      </c>
    </row>
    <row r="13" spans="1:13" ht="25" x14ac:dyDescent="0.35">
      <c r="A13" s="2" t="s">
        <v>58</v>
      </c>
      <c r="B13" s="3" t="s">
        <v>59</v>
      </c>
      <c r="C13" s="4" t="s">
        <v>60</v>
      </c>
      <c r="D13" s="4" t="s">
        <v>61</v>
      </c>
      <c r="E13" s="5">
        <v>67500</v>
      </c>
      <c r="F13" s="5">
        <v>0</v>
      </c>
      <c r="G13" s="5">
        <f t="shared" si="0"/>
        <v>67500</v>
      </c>
      <c r="H13" s="2">
        <f t="shared" ca="1" si="1"/>
        <v>-365</v>
      </c>
      <c r="I13" s="2" t="str">
        <f t="shared" ca="1" si="2"/>
        <v>Not Yet Due</v>
      </c>
      <c r="J13" s="2" t="str">
        <f t="shared" ca="1" si="3"/>
        <v>Upcoming</v>
      </c>
      <c r="K13" s="3" t="str">
        <f t="shared" ca="1" si="4"/>
        <v>Schedule payment before due date</v>
      </c>
      <c r="L13" s="2" t="str">
        <f t="shared" ca="1" si="5"/>
        <v>Low</v>
      </c>
      <c r="M13" s="2" t="s">
        <v>62</v>
      </c>
    </row>
    <row r="14" spans="1:13" x14ac:dyDescent="0.35">
      <c r="A14" s="6" t="s">
        <v>63</v>
      </c>
      <c r="B14" s="7" t="s">
        <v>64</v>
      </c>
      <c r="C14" s="8" t="s">
        <v>65</v>
      </c>
      <c r="D14" s="8" t="s">
        <v>66</v>
      </c>
      <c r="E14" s="9">
        <v>89000</v>
      </c>
      <c r="F14" s="9">
        <v>89000</v>
      </c>
      <c r="G14" s="9">
        <f t="shared" si="0"/>
        <v>0</v>
      </c>
      <c r="H14" s="6" t="str">
        <f t="shared" ca="1" si="1"/>
        <v>-</v>
      </c>
      <c r="I14" s="6" t="str">
        <f t="shared" ca="1" si="2"/>
        <v>Paid</v>
      </c>
      <c r="J14" s="6" t="str">
        <f t="shared" ca="1" si="3"/>
        <v>Paid</v>
      </c>
      <c r="K14" s="7" t="str">
        <f t="shared" ca="1" si="4"/>
        <v>Payment completed</v>
      </c>
      <c r="L14" s="6" t="str">
        <f t="shared" ca="1" si="5"/>
        <v>-</v>
      </c>
      <c r="M14" s="6" t="s">
        <v>45</v>
      </c>
    </row>
    <row r="15" spans="1:13" ht="25" x14ac:dyDescent="0.35">
      <c r="A15" s="2" t="s">
        <v>67</v>
      </c>
      <c r="B15" s="3" t="s">
        <v>68</v>
      </c>
      <c r="C15" s="4" t="s">
        <v>69</v>
      </c>
      <c r="D15" s="4" t="s">
        <v>70</v>
      </c>
      <c r="E15" s="5">
        <v>42000</v>
      </c>
      <c r="F15" s="5">
        <v>0</v>
      </c>
      <c r="G15" s="5">
        <f t="shared" si="0"/>
        <v>42000</v>
      </c>
      <c r="H15" s="2">
        <f t="shared" ca="1" si="1"/>
        <v>-359</v>
      </c>
      <c r="I15" s="2" t="str">
        <f t="shared" ca="1" si="2"/>
        <v>Not Yet Due</v>
      </c>
      <c r="J15" s="2" t="str">
        <f t="shared" ca="1" si="3"/>
        <v>Upcoming</v>
      </c>
      <c r="K15" s="3" t="str">
        <f t="shared" ca="1" si="4"/>
        <v>Schedule payment before due date</v>
      </c>
      <c r="L15" s="2" t="str">
        <f t="shared" ca="1" si="5"/>
        <v>Low</v>
      </c>
      <c r="M15" s="2" t="s">
        <v>18</v>
      </c>
    </row>
    <row r="16" spans="1:13" ht="25" x14ac:dyDescent="0.35">
      <c r="A16" s="6" t="s">
        <v>71</v>
      </c>
      <c r="B16" s="7" t="s">
        <v>72</v>
      </c>
      <c r="C16" s="8" t="s">
        <v>44</v>
      </c>
      <c r="D16" s="8" t="s">
        <v>73</v>
      </c>
      <c r="E16" s="9">
        <v>178000</v>
      </c>
      <c r="F16" s="9">
        <v>100000</v>
      </c>
      <c r="G16" s="9">
        <f t="shared" si="0"/>
        <v>78000</v>
      </c>
      <c r="H16" s="6">
        <f t="shared" ca="1" si="1"/>
        <v>-356</v>
      </c>
      <c r="I16" s="6" t="str">
        <f t="shared" ca="1" si="2"/>
        <v>Not Yet Due</v>
      </c>
      <c r="J16" s="6" t="str">
        <f t="shared" ca="1" si="3"/>
        <v>Upcoming</v>
      </c>
      <c r="K16" s="7" t="str">
        <f t="shared" ca="1" si="4"/>
        <v>Schedule payment before due date</v>
      </c>
      <c r="L16" s="6" t="str">
        <f t="shared" ca="1" si="5"/>
        <v>Low</v>
      </c>
      <c r="M16" s="6" t="s">
        <v>27</v>
      </c>
    </row>
    <row r="17" spans="1:13" ht="25" x14ac:dyDescent="0.35">
      <c r="A17" s="2" t="s">
        <v>74</v>
      </c>
      <c r="B17" s="3" t="s">
        <v>75</v>
      </c>
      <c r="C17" s="4" t="s">
        <v>76</v>
      </c>
      <c r="D17" s="4" t="s">
        <v>77</v>
      </c>
      <c r="E17" s="5">
        <v>61000</v>
      </c>
      <c r="F17" s="5">
        <v>0</v>
      </c>
      <c r="G17" s="5">
        <f t="shared" si="0"/>
        <v>61000</v>
      </c>
      <c r="H17" s="2">
        <f t="shared" ca="1" si="1"/>
        <v>-353</v>
      </c>
      <c r="I17" s="2" t="str">
        <f t="shared" ca="1" si="2"/>
        <v>Not Yet Due</v>
      </c>
      <c r="J17" s="2" t="str">
        <f t="shared" ca="1" si="3"/>
        <v>Upcoming</v>
      </c>
      <c r="K17" s="3" t="str">
        <f t="shared" ca="1" si="4"/>
        <v>Schedule payment before due date</v>
      </c>
      <c r="L17" s="2" t="str">
        <f t="shared" ca="1" si="5"/>
        <v>Low</v>
      </c>
      <c r="M17" s="2" t="s">
        <v>62</v>
      </c>
    </row>
    <row r="18" spans="1:13" ht="25" x14ac:dyDescent="0.35">
      <c r="A18" s="6" t="s">
        <v>78</v>
      </c>
      <c r="B18" s="7" t="s">
        <v>79</v>
      </c>
      <c r="C18" s="8" t="s">
        <v>80</v>
      </c>
      <c r="D18" s="8" t="s">
        <v>81</v>
      </c>
      <c r="E18" s="9">
        <v>94000</v>
      </c>
      <c r="F18" s="9">
        <v>0</v>
      </c>
      <c r="G18" s="9">
        <f t="shared" si="0"/>
        <v>94000</v>
      </c>
      <c r="H18" s="6">
        <f t="shared" ca="1" si="1"/>
        <v>-350</v>
      </c>
      <c r="I18" s="6" t="str">
        <f t="shared" ca="1" si="2"/>
        <v>Not Yet Due</v>
      </c>
      <c r="J18" s="6" t="str">
        <f t="shared" ca="1" si="3"/>
        <v>Upcoming</v>
      </c>
      <c r="K18" s="7" t="str">
        <f t="shared" ca="1" si="4"/>
        <v>Schedule payment before due date</v>
      </c>
      <c r="L18" s="6" t="str">
        <f t="shared" ca="1" si="5"/>
        <v>Low</v>
      </c>
      <c r="M18" s="6" t="s">
        <v>18</v>
      </c>
    </row>
    <row r="19" spans="1:13" x14ac:dyDescent="0.35">
      <c r="A19" s="2" t="s">
        <v>82</v>
      </c>
      <c r="B19" s="3" t="s">
        <v>83</v>
      </c>
      <c r="C19" s="4" t="s">
        <v>53</v>
      </c>
      <c r="D19" s="4" t="s">
        <v>84</v>
      </c>
      <c r="E19" s="5">
        <v>145000</v>
      </c>
      <c r="F19" s="5">
        <v>145000</v>
      </c>
      <c r="G19" s="5">
        <f t="shared" si="0"/>
        <v>0</v>
      </c>
      <c r="H19" s="2" t="str">
        <f t="shared" ca="1" si="1"/>
        <v>-</v>
      </c>
      <c r="I19" s="2" t="str">
        <f t="shared" ca="1" si="2"/>
        <v>Paid</v>
      </c>
      <c r="J19" s="2" t="str">
        <f t="shared" ca="1" si="3"/>
        <v>Paid</v>
      </c>
      <c r="K19" s="3" t="str">
        <f t="shared" ca="1" si="4"/>
        <v>Payment completed</v>
      </c>
      <c r="L19" s="2" t="str">
        <f t="shared" ca="1" si="5"/>
        <v>-</v>
      </c>
      <c r="M19" s="2" t="s">
        <v>27</v>
      </c>
    </row>
    <row r="20" spans="1:13" ht="25" x14ac:dyDescent="0.35">
      <c r="A20" s="6" t="s">
        <v>85</v>
      </c>
      <c r="B20" s="7" t="s">
        <v>86</v>
      </c>
      <c r="C20" s="8" t="s">
        <v>87</v>
      </c>
      <c r="D20" s="8" t="s">
        <v>88</v>
      </c>
      <c r="E20" s="9">
        <v>38000</v>
      </c>
      <c r="F20" s="9">
        <v>0</v>
      </c>
      <c r="G20" s="9">
        <f t="shared" si="0"/>
        <v>38000</v>
      </c>
      <c r="H20" s="6">
        <f t="shared" ca="1" si="1"/>
        <v>-345</v>
      </c>
      <c r="I20" s="6" t="str">
        <f t="shared" ca="1" si="2"/>
        <v>Not Yet Due</v>
      </c>
      <c r="J20" s="6" t="str">
        <f t="shared" ca="1" si="3"/>
        <v>Upcoming</v>
      </c>
      <c r="K20" s="7" t="str">
        <f t="shared" ca="1" si="4"/>
        <v>Schedule payment before due date</v>
      </c>
      <c r="L20" s="6" t="str">
        <f t="shared" ca="1" si="5"/>
        <v>Low</v>
      </c>
      <c r="M20" s="6" t="s">
        <v>45</v>
      </c>
    </row>
    <row r="21" spans="1:13" ht="25" x14ac:dyDescent="0.35">
      <c r="A21" s="2" t="s">
        <v>89</v>
      </c>
      <c r="B21" s="3" t="s">
        <v>90</v>
      </c>
      <c r="C21" s="4" t="s">
        <v>91</v>
      </c>
      <c r="D21" s="4" t="s">
        <v>92</v>
      </c>
      <c r="E21" s="5">
        <v>112000</v>
      </c>
      <c r="F21" s="5">
        <v>50000</v>
      </c>
      <c r="G21" s="5">
        <f t="shared" si="0"/>
        <v>62000</v>
      </c>
      <c r="H21" s="2">
        <f t="shared" ca="1" si="1"/>
        <v>-342</v>
      </c>
      <c r="I21" s="2" t="str">
        <f t="shared" ca="1" si="2"/>
        <v>Not Yet Due</v>
      </c>
      <c r="J21" s="2" t="str">
        <f t="shared" ca="1" si="3"/>
        <v>Upcoming</v>
      </c>
      <c r="K21" s="3" t="str">
        <f t="shared" ca="1" si="4"/>
        <v>Schedule payment before due date</v>
      </c>
      <c r="L21" s="2" t="str">
        <f t="shared" ca="1" si="5"/>
        <v>Low</v>
      </c>
      <c r="M21" s="2" t="s">
        <v>18</v>
      </c>
    </row>
    <row r="22" spans="1:13" ht="25" x14ac:dyDescent="0.35">
      <c r="A22" s="6" t="s">
        <v>93</v>
      </c>
      <c r="B22" s="7" t="s">
        <v>94</v>
      </c>
      <c r="C22" s="8" t="s">
        <v>95</v>
      </c>
      <c r="D22" s="8" t="s">
        <v>96</v>
      </c>
      <c r="E22" s="9">
        <v>75000</v>
      </c>
      <c r="F22" s="9">
        <v>0</v>
      </c>
      <c r="G22" s="9">
        <f t="shared" si="0"/>
        <v>75000</v>
      </c>
      <c r="H22" s="6">
        <f t="shared" ca="1" si="1"/>
        <v>-339</v>
      </c>
      <c r="I22" s="6" t="str">
        <f t="shared" ca="1" si="2"/>
        <v>Not Yet Due</v>
      </c>
      <c r="J22" s="6" t="str">
        <f t="shared" ca="1" si="3"/>
        <v>Upcoming</v>
      </c>
      <c r="K22" s="7" t="str">
        <f t="shared" ca="1" si="4"/>
        <v>Schedule payment before due date</v>
      </c>
      <c r="L22" s="6" t="str">
        <f t="shared" ca="1" si="5"/>
        <v>Low</v>
      </c>
      <c r="M22" s="6" t="s">
        <v>62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22" customWidth="1"/>
    <col min="2" max="2" width="16" customWidth="1"/>
    <col min="3" max="5" width="18" customWidth="1"/>
    <col min="6" max="7" width="14" customWidth="1"/>
  </cols>
  <sheetData>
    <row r="1" spans="1:7" ht="30" customHeight="1" x14ac:dyDescent="0.35">
      <c r="A1" s="37" t="s">
        <v>97</v>
      </c>
      <c r="B1" s="37"/>
      <c r="C1" s="37"/>
      <c r="D1" s="37"/>
      <c r="E1" s="37"/>
      <c r="F1" s="37"/>
      <c r="G1" s="37"/>
    </row>
    <row r="2" spans="1:7" ht="27.75" customHeight="1" x14ac:dyDescent="0.35">
      <c r="A2" s="1" t="s">
        <v>98</v>
      </c>
      <c r="B2" s="1" t="s">
        <v>99</v>
      </c>
      <c r="C2" s="1" t="s">
        <v>100</v>
      </c>
      <c r="D2" s="1" t="s">
        <v>6</v>
      </c>
      <c r="E2" s="1" t="s">
        <v>7</v>
      </c>
      <c r="F2" s="1" t="s">
        <v>101</v>
      </c>
      <c r="G2" s="1" t="s">
        <v>102</v>
      </c>
    </row>
    <row r="3" spans="1:7" x14ac:dyDescent="0.35">
      <c r="A3" s="10" t="s">
        <v>103</v>
      </c>
      <c r="B3" s="11">
        <f ca="1">COUNTIF('Invoice Data'!I3:I22,"Paid")</f>
        <v>7</v>
      </c>
      <c r="C3" s="12">
        <f ca="1">SUMIF('Invoice Data'!I3:I22,"Paid",'Invoice Data'!E3:E22)</f>
        <v>727000</v>
      </c>
      <c r="D3" s="12">
        <f ca="1">SUMIF('Invoice Data'!I3:I22,"Paid",'Invoice Data'!F3:F22)</f>
        <v>727000</v>
      </c>
      <c r="E3" s="12">
        <f ca="1">SUMIF('Invoice Data'!I3:I22,"Paid",'Invoice Data'!G3:G22)</f>
        <v>0</v>
      </c>
      <c r="F3" s="13">
        <f ca="1">IFERROR(C3/C9,0)</f>
        <v>0.37844872462259238</v>
      </c>
      <c r="G3" s="11" t="s">
        <v>104</v>
      </c>
    </row>
    <row r="4" spans="1:7" x14ac:dyDescent="0.35">
      <c r="A4" s="14" t="s">
        <v>105</v>
      </c>
      <c r="B4" s="15">
        <f ca="1">COUNTIF('Invoice Data'!I3:I22,"Not Yet Due")</f>
        <v>13</v>
      </c>
      <c r="C4" s="16">
        <f ca="1">SUMIF('Invoice Data'!I3:I22,"Not Yet Due",'Invoice Data'!E3:E22)</f>
        <v>1194000</v>
      </c>
      <c r="D4" s="16">
        <f ca="1">SUMIF('Invoice Data'!I3:I22,"Not Yet Due",'Invoice Data'!F3:F22)</f>
        <v>310000</v>
      </c>
      <c r="E4" s="16">
        <f ca="1">SUMIF('Invoice Data'!I3:I22,"Not Yet Due",'Invoice Data'!G3:G22)</f>
        <v>884000</v>
      </c>
      <c r="F4" s="17">
        <f ca="1">IFERROR(C4/C9,0)</f>
        <v>0.62155127537740762</v>
      </c>
      <c r="G4" s="15" t="s">
        <v>106</v>
      </c>
    </row>
    <row r="5" spans="1:7" x14ac:dyDescent="0.35">
      <c r="A5" s="18" t="s">
        <v>107</v>
      </c>
      <c r="B5" s="19">
        <f ca="1">COUNTIF('Invoice Data'!I3:I22,"1-30 Days Overdue")</f>
        <v>0</v>
      </c>
      <c r="C5" s="20">
        <f ca="1">SUMIF('Invoice Data'!I3:I22,"1-30 Days Overdue",'Invoice Data'!E3:E22)</f>
        <v>0</v>
      </c>
      <c r="D5" s="20">
        <f ca="1">SUMIF('Invoice Data'!I3:I22,"1-30 Days Overdue",'Invoice Data'!F3:F22)</f>
        <v>0</v>
      </c>
      <c r="E5" s="20">
        <f ca="1">SUMIF('Invoice Data'!I3:I22,"1-30 Days Overdue",'Invoice Data'!G3:G22)</f>
        <v>0</v>
      </c>
      <c r="F5" s="21">
        <f ca="1">IFERROR(C5/C9,0)</f>
        <v>0</v>
      </c>
      <c r="G5" s="19" t="s">
        <v>108</v>
      </c>
    </row>
    <row r="6" spans="1:7" x14ac:dyDescent="0.35">
      <c r="A6" s="22" t="s">
        <v>109</v>
      </c>
      <c r="B6" s="19">
        <f ca="1">COUNTIF('Invoice Data'!I3:I22,"31-60 Days Overdue")</f>
        <v>0</v>
      </c>
      <c r="C6" s="20">
        <f ca="1">SUMIF('Invoice Data'!I3:I22,"31-60 Days Overdue",'Invoice Data'!E3:E22)</f>
        <v>0</v>
      </c>
      <c r="D6" s="20">
        <f ca="1">SUMIF('Invoice Data'!I3:I22,"31-60 Days Overdue",'Invoice Data'!F3:F22)</f>
        <v>0</v>
      </c>
      <c r="E6" s="20">
        <f ca="1">SUMIF('Invoice Data'!I3:I22,"31-60 Days Overdue",'Invoice Data'!G3:G22)</f>
        <v>0</v>
      </c>
      <c r="F6" s="21">
        <f ca="1">IFERROR(C6/C9,0)</f>
        <v>0</v>
      </c>
      <c r="G6" s="19" t="s">
        <v>110</v>
      </c>
    </row>
    <row r="7" spans="1:7" x14ac:dyDescent="0.35">
      <c r="A7" s="23" t="s">
        <v>111</v>
      </c>
      <c r="B7" s="24">
        <f ca="1">COUNTIF('Invoice Data'!I3:I22,"61-90 Days Overdue")</f>
        <v>0</v>
      </c>
      <c r="C7" s="25">
        <f ca="1">SUMIF('Invoice Data'!I3:I22,"61-90 Days Overdue",'Invoice Data'!E3:E22)</f>
        <v>0</v>
      </c>
      <c r="D7" s="25">
        <f ca="1">SUMIF('Invoice Data'!I3:I22,"61-90 Days Overdue",'Invoice Data'!F3:F22)</f>
        <v>0</v>
      </c>
      <c r="E7" s="25">
        <f ca="1">SUMIF('Invoice Data'!I3:I22,"61-90 Days Overdue",'Invoice Data'!G3:G22)</f>
        <v>0</v>
      </c>
      <c r="F7" s="26">
        <f ca="1">IFERROR(C7/C9,0)</f>
        <v>0</v>
      </c>
      <c r="G7" s="24" t="s">
        <v>112</v>
      </c>
    </row>
    <row r="8" spans="1:7" x14ac:dyDescent="0.35">
      <c r="A8" s="27" t="s">
        <v>113</v>
      </c>
      <c r="B8" s="24">
        <f ca="1">COUNTIF('Invoice Data'!I3:I22,"90+ Days Overdue")</f>
        <v>0</v>
      </c>
      <c r="C8" s="25">
        <f ca="1">SUMIF('Invoice Data'!I3:I22,"90+ Days Overdue",'Invoice Data'!E3:E22)</f>
        <v>0</v>
      </c>
      <c r="D8" s="25">
        <f ca="1">SUMIF('Invoice Data'!I3:I22,"90+ Days Overdue",'Invoice Data'!F3:F22)</f>
        <v>0</v>
      </c>
      <c r="E8" s="25">
        <f ca="1">SUMIF('Invoice Data'!I3:I22,"90+ Days Overdue",'Invoice Data'!G3:G22)</f>
        <v>0</v>
      </c>
      <c r="F8" s="26">
        <f ca="1">IFERROR(C8/C9,0)</f>
        <v>0</v>
      </c>
      <c r="G8" s="24" t="s">
        <v>114</v>
      </c>
    </row>
    <row r="9" spans="1:7" x14ac:dyDescent="0.35">
      <c r="A9" s="28" t="s">
        <v>115</v>
      </c>
      <c r="B9" s="29">
        <f ca="1">SUM(B3:B8)</f>
        <v>20</v>
      </c>
      <c r="C9" s="30">
        <f ca="1">SUM(C3:C8)</f>
        <v>1921000</v>
      </c>
      <c r="D9" s="30">
        <f ca="1">SUM(D3:D8)</f>
        <v>1037000</v>
      </c>
      <c r="E9" s="30">
        <f ca="1">SUM(E3:E8)</f>
        <v>884000</v>
      </c>
      <c r="F9" s="29" t="str">
        <f ca="1">IF(C9=0,"-","100%")</f>
        <v>100%</v>
      </c>
      <c r="G9" s="29" t="s">
        <v>116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tabSelected="1" zoomScaleNormal="100" workbookViewId="0">
      <selection sqref="A1:H1"/>
    </sheetView>
  </sheetViews>
  <sheetFormatPr defaultColWidth="8.6328125" defaultRowHeight="14.5" x14ac:dyDescent="0.35"/>
  <cols>
    <col min="1" max="1" width="22" customWidth="1"/>
    <col min="2" max="2" width="15" customWidth="1"/>
    <col min="3" max="3" width="18" customWidth="1"/>
    <col min="4" max="5" width="16" customWidth="1"/>
    <col min="6" max="6" width="18" customWidth="1"/>
    <col min="7" max="7" width="14" customWidth="1"/>
    <col min="8" max="8" width="18" customWidth="1"/>
  </cols>
  <sheetData>
    <row r="1" spans="1:8" ht="30" customHeight="1" x14ac:dyDescent="0.35">
      <c r="A1" s="37" t="s">
        <v>117</v>
      </c>
      <c r="B1" s="37"/>
      <c r="C1" s="37"/>
      <c r="D1" s="37"/>
      <c r="E1" s="37"/>
      <c r="F1" s="37"/>
      <c r="G1" s="37"/>
      <c r="H1" s="37"/>
    </row>
    <row r="2" spans="1:8" ht="27.75" customHeight="1" x14ac:dyDescent="0.35">
      <c r="A2" s="1" t="s">
        <v>2</v>
      </c>
      <c r="B2" s="1" t="s">
        <v>99</v>
      </c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H2" s="1" t="s">
        <v>123</v>
      </c>
    </row>
    <row r="3" spans="1:8" x14ac:dyDescent="0.35">
      <c r="A3" s="3" t="s">
        <v>15</v>
      </c>
      <c r="B3" s="2">
        <f>COUNTIF('Invoice Data'!B3:B22,A3)</f>
        <v>1</v>
      </c>
      <c r="C3" s="5">
        <f>SUMIF('Invoice Data'!B3:B22,A3,'Invoice Data'!E3:E22)</f>
        <v>92000</v>
      </c>
      <c r="D3" s="5">
        <f>SUMIF('Invoice Data'!B3:B22,A3,'Invoice Data'!F3:F22)</f>
        <v>92000</v>
      </c>
      <c r="E3" s="5">
        <f t="shared" ref="E3:E22" si="0">C3-D3</f>
        <v>0</v>
      </c>
      <c r="F3" s="2" t="s">
        <v>17</v>
      </c>
      <c r="G3" s="2" t="s">
        <v>124</v>
      </c>
      <c r="H3" s="2" t="s">
        <v>125</v>
      </c>
    </row>
    <row r="4" spans="1:8" x14ac:dyDescent="0.35">
      <c r="A4" s="7" t="s">
        <v>20</v>
      </c>
      <c r="B4" s="6">
        <f>COUNTIF('Invoice Data'!B3:B22,A4)</f>
        <v>1</v>
      </c>
      <c r="C4" s="9">
        <f>SUMIF('Invoice Data'!B3:B22,A4,'Invoice Data'!E3:E22)</f>
        <v>135000</v>
      </c>
      <c r="D4" s="9">
        <f>SUMIF('Invoice Data'!B3:B22,A4,'Invoice Data'!F3:F22)</f>
        <v>135000</v>
      </c>
      <c r="E4" s="9">
        <f t="shared" si="0"/>
        <v>0</v>
      </c>
      <c r="F4" s="6" t="s">
        <v>22</v>
      </c>
      <c r="G4" s="6" t="s">
        <v>124</v>
      </c>
      <c r="H4" s="6" t="s">
        <v>126</v>
      </c>
    </row>
    <row r="5" spans="1:8" x14ac:dyDescent="0.35">
      <c r="A5" s="3" t="s">
        <v>24</v>
      </c>
      <c r="B5" s="2">
        <f>COUNTIF('Invoice Data'!B3:B22,A5)</f>
        <v>1</v>
      </c>
      <c r="C5" s="5">
        <f>SUMIF('Invoice Data'!B3:B22,A5,'Invoice Data'!E3:E22)</f>
        <v>74500</v>
      </c>
      <c r="D5" s="5">
        <f>SUMIF('Invoice Data'!B3:B22,A5,'Invoice Data'!F3:F22)</f>
        <v>0</v>
      </c>
      <c r="E5" s="5">
        <f t="shared" si="0"/>
        <v>74500</v>
      </c>
      <c r="F5" s="2" t="s">
        <v>116</v>
      </c>
      <c r="G5" s="2" t="s">
        <v>124</v>
      </c>
      <c r="H5" s="2" t="s">
        <v>126</v>
      </c>
    </row>
    <row r="6" spans="1:8" x14ac:dyDescent="0.35">
      <c r="A6" s="7" t="s">
        <v>29</v>
      </c>
      <c r="B6" s="6">
        <f>COUNTIF('Invoice Data'!B3:B22,A6)</f>
        <v>1</v>
      </c>
      <c r="C6" s="9">
        <f>SUMIF('Invoice Data'!B3:B22,A6,'Invoice Data'!E3:E22)</f>
        <v>210000</v>
      </c>
      <c r="D6" s="9">
        <f>SUMIF('Invoice Data'!B3:B22,A6,'Invoice Data'!F3:F22)</f>
        <v>100000</v>
      </c>
      <c r="E6" s="9">
        <f t="shared" si="0"/>
        <v>110000</v>
      </c>
      <c r="F6" s="6" t="s">
        <v>31</v>
      </c>
      <c r="G6" s="6" t="s">
        <v>127</v>
      </c>
      <c r="H6" s="6" t="s">
        <v>128</v>
      </c>
    </row>
    <row r="7" spans="1:8" x14ac:dyDescent="0.35">
      <c r="A7" s="3" t="s">
        <v>33</v>
      </c>
      <c r="B7" s="2">
        <f>COUNTIF('Invoice Data'!B3:B22,A7)</f>
        <v>1</v>
      </c>
      <c r="C7" s="5">
        <f>SUMIF('Invoice Data'!B3:B22,A7,'Invoice Data'!E3:E22)</f>
        <v>48000</v>
      </c>
      <c r="D7" s="5">
        <f>SUMIF('Invoice Data'!B3:B22,A7,'Invoice Data'!F3:F22)</f>
        <v>48000</v>
      </c>
      <c r="E7" s="5">
        <f t="shared" si="0"/>
        <v>0</v>
      </c>
      <c r="F7" s="2" t="s">
        <v>35</v>
      </c>
      <c r="G7" s="2" t="s">
        <v>124</v>
      </c>
      <c r="H7" s="2" t="s">
        <v>129</v>
      </c>
    </row>
    <row r="8" spans="1:8" x14ac:dyDescent="0.35">
      <c r="A8" s="7" t="s">
        <v>38</v>
      </c>
      <c r="B8" s="6">
        <f>COUNTIF('Invoice Data'!B3:B22,A8)</f>
        <v>1</v>
      </c>
      <c r="C8" s="9">
        <f>SUMIF('Invoice Data'!B3:B22,A8,'Invoice Data'!E3:E22)</f>
        <v>87000</v>
      </c>
      <c r="D8" s="9">
        <f>SUMIF('Invoice Data'!B3:B22,A8,'Invoice Data'!F3:F22)</f>
        <v>0</v>
      </c>
      <c r="E8" s="9">
        <f t="shared" si="0"/>
        <v>87000</v>
      </c>
      <c r="F8" s="6" t="s">
        <v>116</v>
      </c>
      <c r="G8" s="6" t="s">
        <v>127</v>
      </c>
      <c r="H8" s="6" t="s">
        <v>130</v>
      </c>
    </row>
    <row r="9" spans="1:8" x14ac:dyDescent="0.35">
      <c r="A9" s="3" t="s">
        <v>42</v>
      </c>
      <c r="B9" s="2">
        <f>COUNTIF('Invoice Data'!B3:B22,A9)</f>
        <v>1</v>
      </c>
      <c r="C9" s="5">
        <f>SUMIF('Invoice Data'!B3:B22,A9,'Invoice Data'!E3:E22)</f>
        <v>165000</v>
      </c>
      <c r="D9" s="5">
        <f>SUMIF('Invoice Data'!B3:B22,A9,'Invoice Data'!F3:F22)</f>
        <v>165000</v>
      </c>
      <c r="E9" s="5">
        <f t="shared" si="0"/>
        <v>0</v>
      </c>
      <c r="F9" s="2" t="s">
        <v>44</v>
      </c>
      <c r="G9" s="2" t="s">
        <v>124</v>
      </c>
      <c r="H9" s="2" t="s">
        <v>125</v>
      </c>
    </row>
    <row r="10" spans="1:8" x14ac:dyDescent="0.35">
      <c r="A10" s="7" t="s">
        <v>47</v>
      </c>
      <c r="B10" s="6">
        <f>COUNTIF('Invoice Data'!B3:B22,A10)</f>
        <v>1</v>
      </c>
      <c r="C10" s="9">
        <f>SUMIF('Invoice Data'!B3:B22,A10,'Invoice Data'!E3:E22)</f>
        <v>36000</v>
      </c>
      <c r="D10" s="9">
        <f>SUMIF('Invoice Data'!B3:B22,A10,'Invoice Data'!F3:F22)</f>
        <v>0</v>
      </c>
      <c r="E10" s="9">
        <f t="shared" si="0"/>
        <v>36000</v>
      </c>
      <c r="F10" s="6" t="s">
        <v>116</v>
      </c>
      <c r="G10" s="6" t="s">
        <v>124</v>
      </c>
      <c r="H10" s="6" t="s">
        <v>125</v>
      </c>
    </row>
    <row r="11" spans="1:8" x14ac:dyDescent="0.35">
      <c r="A11" s="3" t="s">
        <v>51</v>
      </c>
      <c r="B11" s="2">
        <f>COUNTIF('Invoice Data'!B3:B22,A11)</f>
        <v>1</v>
      </c>
      <c r="C11" s="5">
        <f>SUMIF('Invoice Data'!B3:B22,A11,'Invoice Data'!E3:E22)</f>
        <v>119000</v>
      </c>
      <c r="D11" s="5">
        <f>SUMIF('Invoice Data'!B3:B22,A11,'Invoice Data'!F3:F22)</f>
        <v>60000</v>
      </c>
      <c r="E11" s="5">
        <f t="shared" si="0"/>
        <v>59000</v>
      </c>
      <c r="F11" s="2" t="s">
        <v>53</v>
      </c>
      <c r="G11" s="2" t="s">
        <v>124</v>
      </c>
      <c r="H11" s="2" t="s">
        <v>131</v>
      </c>
    </row>
    <row r="12" spans="1:8" x14ac:dyDescent="0.35">
      <c r="A12" s="7" t="s">
        <v>55</v>
      </c>
      <c r="B12" s="6">
        <f>COUNTIF('Invoice Data'!B3:B22,A12)</f>
        <v>1</v>
      </c>
      <c r="C12" s="9">
        <f>SUMIF('Invoice Data'!B3:B22,A12,'Invoice Data'!E3:E22)</f>
        <v>53000</v>
      </c>
      <c r="D12" s="9">
        <f>SUMIF('Invoice Data'!B3:B22,A12,'Invoice Data'!F3:F22)</f>
        <v>53000</v>
      </c>
      <c r="E12" s="9">
        <f t="shared" si="0"/>
        <v>0</v>
      </c>
      <c r="F12" s="6" t="s">
        <v>57</v>
      </c>
      <c r="G12" s="6" t="s">
        <v>124</v>
      </c>
      <c r="H12" s="6" t="s">
        <v>132</v>
      </c>
    </row>
    <row r="13" spans="1:8" x14ac:dyDescent="0.35">
      <c r="A13" s="3" t="s">
        <v>59</v>
      </c>
      <c r="B13" s="2">
        <f>COUNTIF('Invoice Data'!B3:B22,A13)</f>
        <v>1</v>
      </c>
      <c r="C13" s="5">
        <f>SUMIF('Invoice Data'!B3:B22,A13,'Invoice Data'!E3:E22)</f>
        <v>67500</v>
      </c>
      <c r="D13" s="5">
        <f>SUMIF('Invoice Data'!B3:B22,A13,'Invoice Data'!F3:F22)</f>
        <v>0</v>
      </c>
      <c r="E13" s="5">
        <f t="shared" si="0"/>
        <v>67500</v>
      </c>
      <c r="F13" s="2" t="s">
        <v>116</v>
      </c>
      <c r="G13" s="2" t="s">
        <v>127</v>
      </c>
      <c r="H13" s="2" t="s">
        <v>130</v>
      </c>
    </row>
    <row r="14" spans="1:8" x14ac:dyDescent="0.35">
      <c r="A14" s="7" t="s">
        <v>64</v>
      </c>
      <c r="B14" s="6">
        <f>COUNTIF('Invoice Data'!B3:B22,A14)</f>
        <v>1</v>
      </c>
      <c r="C14" s="9">
        <f>SUMIF('Invoice Data'!B3:B22,A14,'Invoice Data'!E3:E22)</f>
        <v>89000</v>
      </c>
      <c r="D14" s="9">
        <f>SUMIF('Invoice Data'!B3:B22,A14,'Invoice Data'!F3:F22)</f>
        <v>89000</v>
      </c>
      <c r="E14" s="9">
        <f t="shared" si="0"/>
        <v>0</v>
      </c>
      <c r="F14" s="6" t="s">
        <v>66</v>
      </c>
      <c r="G14" s="6" t="s">
        <v>124</v>
      </c>
      <c r="H14" s="6" t="s">
        <v>133</v>
      </c>
    </row>
    <row r="15" spans="1:8" x14ac:dyDescent="0.35">
      <c r="A15" s="3" t="s">
        <v>68</v>
      </c>
      <c r="B15" s="2">
        <f>COUNTIF('Invoice Data'!B3:B22,A15)</f>
        <v>1</v>
      </c>
      <c r="C15" s="5">
        <f>SUMIF('Invoice Data'!B3:B22,A15,'Invoice Data'!E3:E22)</f>
        <v>42000</v>
      </c>
      <c r="D15" s="5">
        <f>SUMIF('Invoice Data'!B3:B22,A15,'Invoice Data'!F3:F22)</f>
        <v>0</v>
      </c>
      <c r="E15" s="5">
        <f t="shared" si="0"/>
        <v>42000</v>
      </c>
      <c r="F15" s="2" t="s">
        <v>116</v>
      </c>
      <c r="G15" s="2" t="s">
        <v>124</v>
      </c>
      <c r="H15" s="2" t="s">
        <v>125</v>
      </c>
    </row>
    <row r="16" spans="1:8" x14ac:dyDescent="0.35">
      <c r="A16" s="7" t="s">
        <v>72</v>
      </c>
      <c r="B16" s="6">
        <f>COUNTIF('Invoice Data'!B3:B22,A16)</f>
        <v>1</v>
      </c>
      <c r="C16" s="9">
        <f>SUMIF('Invoice Data'!B3:B22,A16,'Invoice Data'!E3:E22)</f>
        <v>178000</v>
      </c>
      <c r="D16" s="9">
        <f>SUMIF('Invoice Data'!B3:B22,A16,'Invoice Data'!F3:F22)</f>
        <v>100000</v>
      </c>
      <c r="E16" s="9">
        <f t="shared" si="0"/>
        <v>78000</v>
      </c>
      <c r="F16" s="6" t="s">
        <v>73</v>
      </c>
      <c r="G16" s="6" t="s">
        <v>127</v>
      </c>
      <c r="H16" s="6" t="s">
        <v>125</v>
      </c>
    </row>
    <row r="17" spans="1:8" x14ac:dyDescent="0.35">
      <c r="A17" s="3" t="s">
        <v>75</v>
      </c>
      <c r="B17" s="2">
        <f>COUNTIF('Invoice Data'!B3:B22,A17)</f>
        <v>1</v>
      </c>
      <c r="C17" s="5">
        <f>SUMIF('Invoice Data'!B3:B22,A17,'Invoice Data'!E3:E22)</f>
        <v>61000</v>
      </c>
      <c r="D17" s="5">
        <f>SUMIF('Invoice Data'!B3:B22,A17,'Invoice Data'!F3:F22)</f>
        <v>0</v>
      </c>
      <c r="E17" s="5">
        <f t="shared" si="0"/>
        <v>61000</v>
      </c>
      <c r="F17" s="2" t="s">
        <v>116</v>
      </c>
      <c r="G17" s="2" t="s">
        <v>124</v>
      </c>
      <c r="H17" s="2" t="s">
        <v>134</v>
      </c>
    </row>
    <row r="18" spans="1:8" x14ac:dyDescent="0.35">
      <c r="A18" s="7" t="s">
        <v>79</v>
      </c>
      <c r="B18" s="6">
        <f>COUNTIF('Invoice Data'!B3:B22,A18)</f>
        <v>1</v>
      </c>
      <c r="C18" s="9">
        <f>SUMIF('Invoice Data'!B3:B22,A18,'Invoice Data'!E3:E22)</f>
        <v>94000</v>
      </c>
      <c r="D18" s="9">
        <f>SUMIF('Invoice Data'!B3:B22,A18,'Invoice Data'!F3:F22)</f>
        <v>0</v>
      </c>
      <c r="E18" s="9">
        <f t="shared" si="0"/>
        <v>94000</v>
      </c>
      <c r="F18" s="6" t="s">
        <v>116</v>
      </c>
      <c r="G18" s="6" t="s">
        <v>127</v>
      </c>
      <c r="H18" s="6" t="s">
        <v>135</v>
      </c>
    </row>
    <row r="19" spans="1:8" x14ac:dyDescent="0.35">
      <c r="A19" s="3" t="s">
        <v>83</v>
      </c>
      <c r="B19" s="2">
        <f>COUNTIF('Invoice Data'!B3:B22,A19)</f>
        <v>1</v>
      </c>
      <c r="C19" s="5">
        <f>SUMIF('Invoice Data'!B3:B22,A19,'Invoice Data'!E3:E22)</f>
        <v>145000</v>
      </c>
      <c r="D19" s="5">
        <f>SUMIF('Invoice Data'!B3:B22,A19,'Invoice Data'!F3:F22)</f>
        <v>145000</v>
      </c>
      <c r="E19" s="5">
        <f t="shared" si="0"/>
        <v>0</v>
      </c>
      <c r="F19" s="2" t="s">
        <v>84</v>
      </c>
      <c r="G19" s="2" t="s">
        <v>127</v>
      </c>
      <c r="H19" s="2" t="s">
        <v>125</v>
      </c>
    </row>
    <row r="20" spans="1:8" x14ac:dyDescent="0.35">
      <c r="A20" s="7" t="s">
        <v>86</v>
      </c>
      <c r="B20" s="6">
        <f>COUNTIF('Invoice Data'!B3:B22,A20)</f>
        <v>1</v>
      </c>
      <c r="C20" s="9">
        <f>SUMIF('Invoice Data'!B3:B22,A20,'Invoice Data'!E3:E22)</f>
        <v>38000</v>
      </c>
      <c r="D20" s="9">
        <f>SUMIF('Invoice Data'!B3:B22,A20,'Invoice Data'!F3:F22)</f>
        <v>0</v>
      </c>
      <c r="E20" s="9">
        <f t="shared" si="0"/>
        <v>38000</v>
      </c>
      <c r="F20" s="6" t="s">
        <v>116</v>
      </c>
      <c r="G20" s="6" t="s">
        <v>124</v>
      </c>
      <c r="H20" s="6" t="s">
        <v>130</v>
      </c>
    </row>
    <row r="21" spans="1:8" x14ac:dyDescent="0.35">
      <c r="A21" s="3" t="s">
        <v>90</v>
      </c>
      <c r="B21" s="2">
        <f>COUNTIF('Invoice Data'!B3:B22,A21)</f>
        <v>1</v>
      </c>
      <c r="C21" s="5">
        <f>SUMIF('Invoice Data'!B3:B22,A21,'Invoice Data'!E3:E22)</f>
        <v>112000</v>
      </c>
      <c r="D21" s="5">
        <f>SUMIF('Invoice Data'!B3:B22,A21,'Invoice Data'!F3:F22)</f>
        <v>50000</v>
      </c>
      <c r="E21" s="5">
        <f t="shared" si="0"/>
        <v>62000</v>
      </c>
      <c r="F21" s="2" t="s">
        <v>92</v>
      </c>
      <c r="G21" s="2" t="s">
        <v>127</v>
      </c>
      <c r="H21" s="2" t="s">
        <v>130</v>
      </c>
    </row>
    <row r="22" spans="1:8" x14ac:dyDescent="0.35">
      <c r="A22" s="7" t="s">
        <v>94</v>
      </c>
      <c r="B22" s="6">
        <f>COUNTIF('Invoice Data'!B3:B22,A22)</f>
        <v>1</v>
      </c>
      <c r="C22" s="9">
        <f>SUMIF('Invoice Data'!B3:B22,A22,'Invoice Data'!E3:E22)</f>
        <v>75000</v>
      </c>
      <c r="D22" s="9">
        <f>SUMIF('Invoice Data'!B3:B22,A22,'Invoice Data'!F3:F22)</f>
        <v>0</v>
      </c>
      <c r="E22" s="9">
        <f t="shared" si="0"/>
        <v>75000</v>
      </c>
      <c r="F22" s="6" t="s">
        <v>116</v>
      </c>
      <c r="G22" s="6" t="s">
        <v>124</v>
      </c>
      <c r="H22" s="6" t="s">
        <v>136</v>
      </c>
    </row>
    <row r="23" spans="1:8" x14ac:dyDescent="0.35">
      <c r="A23" s="31" t="s">
        <v>115</v>
      </c>
      <c r="B23" s="32">
        <f>SUM(B3:B22)</f>
        <v>20</v>
      </c>
      <c r="C23" s="33">
        <f>SUM(C3:C22)</f>
        <v>1921000</v>
      </c>
      <c r="D23" s="33">
        <f>SUM(D3:D22)</f>
        <v>1037000</v>
      </c>
      <c r="E23" s="33">
        <f>SUM(E3:E22)</f>
        <v>884000</v>
      </c>
      <c r="F23" s="32" t="s">
        <v>116</v>
      </c>
      <c r="G23" s="32" t="s">
        <v>116</v>
      </c>
      <c r="H23" s="32" t="s">
        <v>116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18" customWidth="1"/>
    <col min="2" max="3" width="14" customWidth="1"/>
    <col min="4" max="4" width="18" customWidth="1"/>
    <col min="5" max="6" width="14" customWidth="1"/>
  </cols>
  <sheetData>
    <row r="1" spans="1:6" ht="30" customHeight="1" x14ac:dyDescent="0.35">
      <c r="A1" s="37" t="s">
        <v>137</v>
      </c>
      <c r="B1" s="37"/>
      <c r="C1" s="37"/>
      <c r="D1" s="37"/>
      <c r="E1" s="37"/>
      <c r="F1" s="37"/>
    </row>
    <row r="3" spans="1:6" ht="21.75" customHeight="1" x14ac:dyDescent="0.35">
      <c r="A3" s="41" t="s">
        <v>138</v>
      </c>
      <c r="B3" s="41"/>
      <c r="C3" s="41"/>
      <c r="D3" s="41"/>
      <c r="E3" s="41"/>
      <c r="F3" s="41"/>
    </row>
    <row r="4" spans="1:6" ht="19.5" customHeight="1" x14ac:dyDescent="0.35">
      <c r="A4" s="42" t="s">
        <v>139</v>
      </c>
      <c r="B4" s="42"/>
      <c r="C4" s="42"/>
      <c r="D4" s="42" t="s">
        <v>140</v>
      </c>
      <c r="E4" s="42"/>
      <c r="F4" s="42"/>
    </row>
    <row r="5" spans="1:6" ht="30" customHeight="1" x14ac:dyDescent="0.35">
      <c r="A5" s="44">
        <f>COUNTA('Vendor Ledger'!A3:A22)</f>
        <v>20</v>
      </c>
      <c r="B5" s="44"/>
      <c r="C5" s="44"/>
      <c r="D5" s="44">
        <f>COUNTA('Invoice Data'!A3:A22)</f>
        <v>20</v>
      </c>
      <c r="E5" s="44"/>
      <c r="F5" s="44"/>
    </row>
    <row r="7" spans="1:6" ht="19.5" customHeight="1" x14ac:dyDescent="0.35">
      <c r="A7" s="43" t="s">
        <v>141</v>
      </c>
      <c r="B7" s="43"/>
      <c r="C7" s="43"/>
      <c r="D7" s="50" t="s">
        <v>119</v>
      </c>
      <c r="E7" s="50"/>
      <c r="F7" s="50"/>
    </row>
    <row r="8" spans="1:6" ht="30" customHeight="1" x14ac:dyDescent="0.35">
      <c r="A8" s="45">
        <f>SUM('Invoice Data'!E3:E22)</f>
        <v>1921000</v>
      </c>
      <c r="B8" s="45"/>
      <c r="C8" s="45"/>
      <c r="D8" s="52">
        <f>SUM('Invoice Data'!F3:F22)</f>
        <v>1037000</v>
      </c>
      <c r="E8" s="52"/>
      <c r="F8" s="52"/>
    </row>
    <row r="10" spans="1:6" ht="19.5" customHeight="1" x14ac:dyDescent="0.35">
      <c r="A10" s="47" t="s">
        <v>142</v>
      </c>
      <c r="B10" s="47"/>
      <c r="C10" s="47"/>
      <c r="D10" s="50" t="s">
        <v>143</v>
      </c>
      <c r="E10" s="50"/>
      <c r="F10" s="50"/>
    </row>
    <row r="11" spans="1:6" ht="30" customHeight="1" x14ac:dyDescent="0.35">
      <c r="A11" s="48">
        <f>SUM('Invoice Data'!G3:G22)</f>
        <v>884000</v>
      </c>
      <c r="B11" s="48"/>
      <c r="C11" s="48"/>
      <c r="D11" s="49">
        <f>IFERROR(SUM('Invoice Data'!F3:F22)/SUM('Invoice Data'!E3:E22),0)</f>
        <v>0.53982300884955747</v>
      </c>
      <c r="E11" s="49"/>
      <c r="F11" s="49"/>
    </row>
    <row r="13" spans="1:6" ht="19.5" customHeight="1" x14ac:dyDescent="0.35">
      <c r="A13" s="46" t="s">
        <v>144</v>
      </c>
      <c r="B13" s="46"/>
      <c r="C13" s="46"/>
      <c r="D13" s="50" t="s">
        <v>145</v>
      </c>
      <c r="E13" s="50"/>
      <c r="F13" s="50"/>
    </row>
    <row r="14" spans="1:6" ht="30" customHeight="1" x14ac:dyDescent="0.35">
      <c r="A14" s="39">
        <f ca="1">COUNTIF('Invoice Data'!J3:J22,"Overdue")</f>
        <v>0</v>
      </c>
      <c r="B14" s="39"/>
      <c r="C14" s="39"/>
      <c r="D14" s="51">
        <f ca="1">COUNTIF('Invoice Data'!J3:J22,"Paid")</f>
        <v>7</v>
      </c>
      <c r="E14" s="51"/>
      <c r="F14" s="51"/>
    </row>
    <row r="16" spans="1:6" ht="19.5" customHeight="1" x14ac:dyDescent="0.35">
      <c r="A16" s="42" t="s">
        <v>146</v>
      </c>
      <c r="B16" s="42"/>
      <c r="C16" s="42"/>
      <c r="D16" s="43" t="s">
        <v>147</v>
      </c>
      <c r="E16" s="43"/>
      <c r="F16" s="43"/>
    </row>
    <row r="17" spans="1:6" ht="30" customHeight="1" x14ac:dyDescent="0.35">
      <c r="A17" s="44">
        <f ca="1">COUNTIF('Invoice Data'!J3:J22,"Upcoming")</f>
        <v>13</v>
      </c>
      <c r="B17" s="44"/>
      <c r="C17" s="44"/>
      <c r="D17" s="45">
        <f>IFERROR(SUM('Invoice Data'!E3:E22)/COUNTA('Invoice Data'!A3:A22),0)</f>
        <v>96050</v>
      </c>
      <c r="E17" s="45"/>
      <c r="F17" s="45"/>
    </row>
    <row r="19" spans="1:6" ht="19.5" customHeight="1" x14ac:dyDescent="0.35">
      <c r="A19" s="46" t="s">
        <v>148</v>
      </c>
      <c r="B19" s="46"/>
      <c r="C19" s="46"/>
      <c r="D19" s="47" t="s">
        <v>149</v>
      </c>
      <c r="E19" s="47"/>
      <c r="F19" s="47"/>
    </row>
    <row r="20" spans="1:6" ht="30" customHeight="1" x14ac:dyDescent="0.35">
      <c r="A20" s="39">
        <f ca="1">COUNTIF('Invoice Data'!L3:L22,"Critical")</f>
        <v>0</v>
      </c>
      <c r="B20" s="39"/>
      <c r="C20" s="39"/>
      <c r="D20" s="40">
        <f ca="1">COUNTIF('Invoice Data'!L3:L22,"High")</f>
        <v>0</v>
      </c>
      <c r="E20" s="40"/>
      <c r="F20" s="40"/>
    </row>
    <row r="24" spans="1:6" ht="21.75" customHeight="1" x14ac:dyDescent="0.35">
      <c r="A24" s="41" t="s">
        <v>150</v>
      </c>
      <c r="B24" s="41"/>
      <c r="C24" s="41"/>
      <c r="D24" s="41"/>
      <c r="E24" s="41"/>
      <c r="F24" s="41"/>
    </row>
    <row r="25" spans="1:6" ht="24" customHeight="1" x14ac:dyDescent="0.35">
      <c r="A25" s="34" t="s">
        <v>151</v>
      </c>
      <c r="B25" s="34" t="s">
        <v>152</v>
      </c>
      <c r="C25" s="34" t="s">
        <v>142</v>
      </c>
      <c r="D25" s="34" t="s">
        <v>153</v>
      </c>
      <c r="E25" s="34"/>
      <c r="F25" s="34"/>
    </row>
    <row r="26" spans="1:6" x14ac:dyDescent="0.35">
      <c r="A26" s="7" t="s">
        <v>125</v>
      </c>
      <c r="B26" s="6">
        <f>COUNTIF('Vendor Ledger'!H3:H22,A26)</f>
        <v>6</v>
      </c>
      <c r="C26" s="9">
        <f>SUMIF('Vendor Ledger'!H3:H22,A26,'Vendor Ledger'!E3:E22)</f>
        <v>156000</v>
      </c>
      <c r="D26" s="35">
        <f>IFERROR(C26/SUM(C26:C36),0)</f>
        <v>0.17647058823529413</v>
      </c>
    </row>
    <row r="27" spans="1:6" x14ac:dyDescent="0.35">
      <c r="A27" s="3" t="s">
        <v>126</v>
      </c>
      <c r="B27" s="2">
        <f>COUNTIF('Vendor Ledger'!H3:H22,A27)</f>
        <v>2</v>
      </c>
      <c r="C27" s="5">
        <f>SUMIF('Vendor Ledger'!H3:H22,A27,'Vendor Ledger'!E3:E22)</f>
        <v>74500</v>
      </c>
      <c r="D27" s="36">
        <f>IFERROR(C27/SUM(C26:C36),0)</f>
        <v>8.4276018099547517E-2</v>
      </c>
    </row>
    <row r="28" spans="1:6" x14ac:dyDescent="0.35">
      <c r="A28" s="7" t="s">
        <v>128</v>
      </c>
      <c r="B28" s="6">
        <f>COUNTIF('Vendor Ledger'!H3:H22,A28)</f>
        <v>1</v>
      </c>
      <c r="C28" s="9">
        <f>SUMIF('Vendor Ledger'!H3:H22,A28,'Vendor Ledger'!E3:E22)</f>
        <v>110000</v>
      </c>
      <c r="D28" s="35">
        <f>IFERROR(C28/SUM(C26:C36),0)</f>
        <v>0.1244343891402715</v>
      </c>
    </row>
    <row r="29" spans="1:6" x14ac:dyDescent="0.35">
      <c r="A29" s="3" t="s">
        <v>130</v>
      </c>
      <c r="B29" s="2">
        <f>COUNTIF('Vendor Ledger'!H3:H22,A29)</f>
        <v>4</v>
      </c>
      <c r="C29" s="5">
        <f>SUMIF('Vendor Ledger'!H3:H22,A29,'Vendor Ledger'!E3:E22)</f>
        <v>254500</v>
      </c>
      <c r="D29" s="36">
        <f>IFERROR(C29/SUM(C26:C36),0)</f>
        <v>0.28789592760180993</v>
      </c>
    </row>
    <row r="30" spans="1:6" x14ac:dyDescent="0.35">
      <c r="A30" s="7" t="s">
        <v>131</v>
      </c>
      <c r="B30" s="6">
        <f>COUNTIF('Vendor Ledger'!H3:H22,A30)</f>
        <v>1</v>
      </c>
      <c r="C30" s="9">
        <f>SUMIF('Vendor Ledger'!H3:H22,A30,'Vendor Ledger'!E3:E22)</f>
        <v>59000</v>
      </c>
      <c r="D30" s="35">
        <f>IFERROR(C30/SUM(C26:C36),0)</f>
        <v>6.67420814479638E-2</v>
      </c>
    </row>
    <row r="31" spans="1:6" x14ac:dyDescent="0.35">
      <c r="A31" s="3" t="s">
        <v>129</v>
      </c>
      <c r="B31" s="2">
        <f>COUNTIF('Vendor Ledger'!H3:H22,A31)</f>
        <v>1</v>
      </c>
      <c r="C31" s="5">
        <f>SUMIF('Vendor Ledger'!H3:H22,A31,'Vendor Ledger'!E3:E22)</f>
        <v>0</v>
      </c>
      <c r="D31" s="36">
        <f>IFERROR(C31/SUM(C26:C36),0)</f>
        <v>0</v>
      </c>
    </row>
    <row r="32" spans="1:6" x14ac:dyDescent="0.35">
      <c r="A32" s="7" t="s">
        <v>134</v>
      </c>
      <c r="B32" s="6">
        <f>COUNTIF('Vendor Ledger'!H3:H22,A32)</f>
        <v>1</v>
      </c>
      <c r="C32" s="9">
        <f>SUMIF('Vendor Ledger'!H3:H22,A32,'Vendor Ledger'!E3:E22)</f>
        <v>61000</v>
      </c>
      <c r="D32" s="35">
        <f>IFERROR(C32/SUM(C26:C36),0)</f>
        <v>6.9004524886877833E-2</v>
      </c>
    </row>
    <row r="33" spans="1:4" x14ac:dyDescent="0.35">
      <c r="A33" s="3" t="s">
        <v>135</v>
      </c>
      <c r="B33" s="2">
        <f>COUNTIF('Vendor Ledger'!H3:H22,A33)</f>
        <v>1</v>
      </c>
      <c r="C33" s="5">
        <f>SUMIF('Vendor Ledger'!H3:H22,A33,'Vendor Ledger'!E3:E22)</f>
        <v>94000</v>
      </c>
      <c r="D33" s="36">
        <f>IFERROR(C33/SUM(C26:C36),0)</f>
        <v>0.10633484162895927</v>
      </c>
    </row>
    <row r="34" spans="1:4" x14ac:dyDescent="0.35">
      <c r="A34" s="7" t="s">
        <v>132</v>
      </c>
      <c r="B34" s="6">
        <f>COUNTIF('Vendor Ledger'!H3:H22,A34)</f>
        <v>1</v>
      </c>
      <c r="C34" s="9">
        <f>SUMIF('Vendor Ledger'!H3:H22,A34,'Vendor Ledger'!E3:E22)</f>
        <v>0</v>
      </c>
      <c r="D34" s="35">
        <f>IFERROR(C34/SUM(C26:C36),0)</f>
        <v>0</v>
      </c>
    </row>
    <row r="35" spans="1:4" x14ac:dyDescent="0.35">
      <c r="A35" s="3" t="s">
        <v>133</v>
      </c>
      <c r="B35" s="2">
        <f>COUNTIF('Vendor Ledger'!H3:H22,A35)</f>
        <v>1</v>
      </c>
      <c r="C35" s="5">
        <f>SUMIF('Vendor Ledger'!H3:H22,A35,'Vendor Ledger'!E3:E22)</f>
        <v>0</v>
      </c>
      <c r="D35" s="36">
        <f>IFERROR(C35/SUM(C26:C36),0)</f>
        <v>0</v>
      </c>
    </row>
    <row r="36" spans="1:4" x14ac:dyDescent="0.35">
      <c r="A36" s="7" t="s">
        <v>136</v>
      </c>
      <c r="B36" s="6">
        <f>COUNTIF('Vendor Ledger'!H3:H22,A36)</f>
        <v>1</v>
      </c>
      <c r="C36" s="9">
        <f>SUMIF('Vendor Ledger'!H3:H22,A36,'Vendor Ledger'!E3:E22)</f>
        <v>75000</v>
      </c>
      <c r="D36" s="35">
        <f>IFERROR(C36/SUM(C26:C36),0)</f>
        <v>8.4841628959276022E-2</v>
      </c>
    </row>
  </sheetData>
  <mergeCells count="27">
    <mergeCell ref="A1:F1"/>
    <mergeCell ref="A3:F3"/>
    <mergeCell ref="A4:C4"/>
    <mergeCell ref="D4:F4"/>
    <mergeCell ref="A5:C5"/>
    <mergeCell ref="D5:F5"/>
    <mergeCell ref="A7:C7"/>
    <mergeCell ref="D7:F7"/>
    <mergeCell ref="A8:C8"/>
    <mergeCell ref="D8:F8"/>
    <mergeCell ref="A10:C10"/>
    <mergeCell ref="D10:F10"/>
    <mergeCell ref="A11:C11"/>
    <mergeCell ref="D11:F11"/>
    <mergeCell ref="A13:C13"/>
    <mergeCell ref="D13:F13"/>
    <mergeCell ref="A14:C14"/>
    <mergeCell ref="D14:F14"/>
    <mergeCell ref="A20:C20"/>
    <mergeCell ref="D20:F20"/>
    <mergeCell ref="A24:F24"/>
    <mergeCell ref="A16:C16"/>
    <mergeCell ref="D16:F16"/>
    <mergeCell ref="A17:C17"/>
    <mergeCell ref="D17:F17"/>
    <mergeCell ref="A19:C19"/>
    <mergeCell ref="D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Data</vt:lpstr>
      <vt:lpstr>Aging Analysis</vt:lpstr>
      <vt:lpstr>Vendor Ledger</vt:lpstr>
      <vt:lpstr>MIS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adilwali7435@outlook.com</cp:lastModifiedBy>
  <cp:revision>0</cp:revision>
  <dcterms:created xsi:type="dcterms:W3CDTF">2026-03-30T18:57:13Z</dcterms:created>
  <dcterms:modified xsi:type="dcterms:W3CDTF">2026-03-31T05:34:03Z</dcterms:modified>
  <dc:language>en-US</dc:language>
</cp:coreProperties>
</file>